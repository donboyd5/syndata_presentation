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o\Dropbox\RPrograms PC\OSPC\syndata_presentation\data\"/>
    </mc:Choice>
  </mc:AlternateContent>
  <xr:revisionPtr revIDLastSave="0" documentId="13_ncr:1_{21E645C0-B000-4CE7-A6D1-215D76505383}" xr6:coauthVersionLast="45" xr6:coauthVersionMax="45" xr10:uidLastSave="{00000000-0000-0000-0000-000000000000}"/>
  <bookViews>
    <workbookView xWindow="-120" yWindow="-120" windowWidth="29040" windowHeight="15840" xr2:uid="{14D60720-4D90-4F93-8A2C-3117DBCAEAE1}"/>
  </bookViews>
  <sheets>
    <sheet name="growfactors_link" sheetId="5" r:id="rId1"/>
    <sheet name="growfactors_raw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0" i="4" l="1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</calcChain>
</file>

<file path=xl/sharedStrings.xml><?xml version="1.0" encoding="utf-8"?>
<sst xmlns="http://schemas.openxmlformats.org/spreadsheetml/2006/main" count="583" uniqueCount="223">
  <si>
    <t>#   self.e00900s[:] = np.where(self.e00900s &gt;= 0,</t>
  </si>
  <si>
    <t>#   self.e00900p[:] = np.where(self.e00900p &gt;= 0,</t>
  </si>
  <si>
    <t>#   self.e00900[:] = self.e00900p + self.e00900s</t>
  </si>
  <si>
    <t>#   self.e02000[:] = np.where(self.e02000 &gt;= 0,</t>
  </si>
  <si>
    <t>#   # ITEMIZED DEDUCTIONS</t>
  </si>
  <si>
    <t>#   # CAPITAL GAINS</t>
  </si>
  <si>
    <t>#   # SCHEDULE E</t>
  </si>
  <si>
    <t>#   # MISCELLANOUS SCHEDULES</t>
  </si>
  <si>
    <t>#   # BENEFITS</t>
  </si>
  <si>
    <t xml:space="preserve">#   self.e00200 </t>
  </si>
  <si>
    <t>= gfv['AWAGE']</t>
  </si>
  <si>
    <t xml:space="preserve">#   self.e00200p </t>
  </si>
  <si>
    <t xml:space="preserve">#   self.e00200s </t>
  </si>
  <si>
    <t xml:space="preserve">#   self.pencon_p </t>
  </si>
  <si>
    <t xml:space="preserve">#   self.pencon_s </t>
  </si>
  <si>
    <t xml:space="preserve">#   self.e00300 </t>
  </si>
  <si>
    <t>= gfv['AINTS']</t>
  </si>
  <si>
    <t xml:space="preserve">#   self.e00400 </t>
  </si>
  <si>
    <t xml:space="preserve">#   self.e00600 </t>
  </si>
  <si>
    <t>= gfv['ADIVS']</t>
  </si>
  <si>
    <t xml:space="preserve">#   self.e00650 </t>
  </si>
  <si>
    <t xml:space="preserve">#   self.e00700 </t>
  </si>
  <si>
    <t>= gfv['ATXPY']</t>
  </si>
  <si>
    <t xml:space="preserve">#   self.e00800 </t>
  </si>
  <si>
    <t xml:space="preserve">#                              self.e00900s </t>
  </si>
  <si>
    <t xml:space="preserve"> gfv['ASCHCI'],</t>
  </si>
  <si>
    <t xml:space="preserve"> gfv['ASCHCL'])</t>
  </si>
  <si>
    <t xml:space="preserve">#                              self.e00900p </t>
  </si>
  <si>
    <t xml:space="preserve">#   self.e01100 </t>
  </si>
  <si>
    <t>= gfv['ACGNS']</t>
  </si>
  <si>
    <t xml:space="preserve">#   self.e01200 </t>
  </si>
  <si>
    <t xml:space="preserve">#   self.e01400 </t>
  </si>
  <si>
    <t xml:space="preserve">#   self.e01500 </t>
  </si>
  <si>
    <t xml:space="preserve">#   self.e01700 </t>
  </si>
  <si>
    <t xml:space="preserve">#                             self.e02000 </t>
  </si>
  <si>
    <t xml:space="preserve"> gfv['ASCHEI'],</t>
  </si>
  <si>
    <t xml:space="preserve"> gfv['ASCHEL'])</t>
  </si>
  <si>
    <t xml:space="preserve">#   self.e02100 </t>
  </si>
  <si>
    <t>= gfv['ASCHF']</t>
  </si>
  <si>
    <t xml:space="preserve">#   self.e02100p </t>
  </si>
  <si>
    <t xml:space="preserve">#   self.e02100s </t>
  </si>
  <si>
    <t xml:space="preserve">#   self.e02300 </t>
  </si>
  <si>
    <t>= gfv['AUCOMP']</t>
  </si>
  <si>
    <t xml:space="preserve">#   self.e02400 </t>
  </si>
  <si>
    <t>= gfv['ASOCSEC']</t>
  </si>
  <si>
    <t xml:space="preserve">#   self.e03150 </t>
  </si>
  <si>
    <t xml:space="preserve">#   self.e03210 </t>
  </si>
  <si>
    <t xml:space="preserve">#   self.e03220 </t>
  </si>
  <si>
    <t xml:space="preserve">#   self.e03230 </t>
  </si>
  <si>
    <t xml:space="preserve">#   self.e03270 </t>
  </si>
  <si>
    <t>= gfv['ACPIM']</t>
  </si>
  <si>
    <t xml:space="preserve">#   self.e03240 </t>
  </si>
  <si>
    <t xml:space="preserve">#   self.e03290 </t>
  </si>
  <si>
    <t xml:space="preserve">#   self.e03300 </t>
  </si>
  <si>
    <t xml:space="preserve">#   self.e03400 </t>
  </si>
  <si>
    <t xml:space="preserve">#   self.e03500 </t>
  </si>
  <si>
    <t xml:space="preserve">#   self.e07240 </t>
  </si>
  <si>
    <t xml:space="preserve">#   self.e07260 </t>
  </si>
  <si>
    <t xml:space="preserve">#   self.e07300 </t>
  </si>
  <si>
    <t>= gfv['ABOOK']</t>
  </si>
  <si>
    <t xml:space="preserve">#   self.e07400 </t>
  </si>
  <si>
    <t xml:space="preserve">#   self.p08000 </t>
  </si>
  <si>
    <t xml:space="preserve">#   self.e09700 </t>
  </si>
  <si>
    <t xml:space="preserve">#   self.e09800 </t>
  </si>
  <si>
    <t xml:space="preserve">#   self.e09900 </t>
  </si>
  <si>
    <t xml:space="preserve">#   self.e11200 </t>
  </si>
  <si>
    <t xml:space="preserve">#   self.e17500 </t>
  </si>
  <si>
    <t xml:space="preserve">#   self.e18400 </t>
  </si>
  <si>
    <t xml:space="preserve">#   self.e18500 </t>
  </si>
  <si>
    <t xml:space="preserve">#   self.e19200 </t>
  </si>
  <si>
    <t>= gfv['AIPD']</t>
  </si>
  <si>
    <t xml:space="preserve">#   self.e19800 </t>
  </si>
  <si>
    <t xml:space="preserve">#   self.e20100 </t>
  </si>
  <si>
    <t xml:space="preserve">#   self.e20400 </t>
  </si>
  <si>
    <t xml:space="preserve">#   self.g20500 </t>
  </si>
  <si>
    <t xml:space="preserve">#   self.p22250 </t>
  </si>
  <si>
    <t xml:space="preserve">#   self.p23250 </t>
  </si>
  <si>
    <t xml:space="preserve">#   self.e24515 </t>
  </si>
  <si>
    <t xml:space="preserve">#   self.e24518 </t>
  </si>
  <si>
    <t xml:space="preserve">#   self.e26270 </t>
  </si>
  <si>
    <t>= gfv['ASCHEI']</t>
  </si>
  <si>
    <t xml:space="preserve">#   self.e27200 </t>
  </si>
  <si>
    <t xml:space="preserve">#   self.k1bx14p </t>
  </si>
  <si>
    <t xml:space="preserve">#   self.k1bx14s </t>
  </si>
  <si>
    <t xml:space="preserve">#   self.e07600 </t>
  </si>
  <si>
    <t xml:space="preserve">#   self.e32800 </t>
  </si>
  <si>
    <t xml:space="preserve">#   self.e58990 </t>
  </si>
  <si>
    <t xml:space="preserve">#   self.e62900 </t>
  </si>
  <si>
    <t xml:space="preserve">#   self.e87530 </t>
  </si>
  <si>
    <t xml:space="preserve">#   self.e87521 </t>
  </si>
  <si>
    <t xml:space="preserve">#   self.cmbtp </t>
  </si>
  <si>
    <t xml:space="preserve">#   self.other_ben </t>
  </si>
  <si>
    <t>= gfv['ABENOTHER']</t>
  </si>
  <si>
    <t xml:space="preserve">#   self.mcare_ben </t>
  </si>
  <si>
    <t>= gfv['ABENMCARE']</t>
  </si>
  <si>
    <t xml:space="preserve">#   self.mcaid_ben </t>
  </si>
  <si>
    <t>= gfv['ABENMCAID']</t>
  </si>
  <si>
    <t xml:space="preserve">#   self.ssi_ben </t>
  </si>
  <si>
    <t>= gfv['ABENSSI']</t>
  </si>
  <si>
    <t xml:space="preserve">#   self.snap_ben </t>
  </si>
  <si>
    <t>= gfv['ABENSNAP']</t>
  </si>
  <si>
    <t xml:space="preserve">#   self.wic_ben </t>
  </si>
  <si>
    <t>= gfv['ABENWIC']</t>
  </si>
  <si>
    <t xml:space="preserve">#   self.housing_ben </t>
  </si>
  <si>
    <t>= gfv['ABENHOUSING']</t>
  </si>
  <si>
    <t xml:space="preserve">#   self.tanf_ben </t>
  </si>
  <si>
    <t>= gfv['ABENTANF']</t>
  </si>
  <si>
    <t xml:space="preserve">#   self.vet_ben </t>
  </si>
  <si>
    <t>= gfv['ABENVET']</t>
  </si>
  <si>
    <t xml:space="preserve">e00200 </t>
  </si>
  <si>
    <t xml:space="preserve">e00200p </t>
  </si>
  <si>
    <t xml:space="preserve">e00200s </t>
  </si>
  <si>
    <t xml:space="preserve">pencon_p </t>
  </si>
  <si>
    <t xml:space="preserve">pencon_s </t>
  </si>
  <si>
    <t xml:space="preserve">e00300 </t>
  </si>
  <si>
    <t xml:space="preserve">e00400 </t>
  </si>
  <si>
    <t xml:space="preserve">e00600 </t>
  </si>
  <si>
    <t xml:space="preserve">e00650 </t>
  </si>
  <si>
    <t xml:space="preserve">e00700 </t>
  </si>
  <si>
    <t xml:space="preserve">e00800 </t>
  </si>
  <si>
    <t xml:space="preserve">e00900s </t>
  </si>
  <si>
    <t xml:space="preserve">e00900p </t>
  </si>
  <si>
    <t xml:space="preserve">e01100 </t>
  </si>
  <si>
    <t xml:space="preserve">e01200 </t>
  </si>
  <si>
    <t xml:space="preserve">e01400 </t>
  </si>
  <si>
    <t xml:space="preserve">e01500 </t>
  </si>
  <si>
    <t xml:space="preserve">e01700 </t>
  </si>
  <si>
    <t xml:space="preserve">e02000 </t>
  </si>
  <si>
    <t xml:space="preserve">e02100 </t>
  </si>
  <si>
    <t xml:space="preserve">e02100p </t>
  </si>
  <si>
    <t xml:space="preserve">e02100s </t>
  </si>
  <si>
    <t xml:space="preserve">e02300 </t>
  </si>
  <si>
    <t xml:space="preserve">e02400 </t>
  </si>
  <si>
    <t xml:space="preserve">e03150 </t>
  </si>
  <si>
    <t xml:space="preserve">e03210 </t>
  </si>
  <si>
    <t xml:space="preserve">e03220 </t>
  </si>
  <si>
    <t xml:space="preserve">e03230 </t>
  </si>
  <si>
    <t xml:space="preserve">e03270 </t>
  </si>
  <si>
    <t xml:space="preserve">e03240 </t>
  </si>
  <si>
    <t xml:space="preserve">e03290 </t>
  </si>
  <si>
    <t xml:space="preserve">e03300 </t>
  </si>
  <si>
    <t xml:space="preserve">e03400 </t>
  </si>
  <si>
    <t xml:space="preserve">e03500 </t>
  </si>
  <si>
    <t xml:space="preserve">e07240 </t>
  </si>
  <si>
    <t xml:space="preserve">e07260 </t>
  </si>
  <si>
    <t xml:space="preserve">e07300 </t>
  </si>
  <si>
    <t xml:space="preserve">e07400 </t>
  </si>
  <si>
    <t xml:space="preserve">p08000 </t>
  </si>
  <si>
    <t xml:space="preserve">e09700 </t>
  </si>
  <si>
    <t xml:space="preserve">e09800 </t>
  </si>
  <si>
    <t xml:space="preserve">e09900 </t>
  </si>
  <si>
    <t xml:space="preserve">e11200 </t>
  </si>
  <si>
    <t xml:space="preserve">e17500 </t>
  </si>
  <si>
    <t xml:space="preserve">e18400 </t>
  </si>
  <si>
    <t xml:space="preserve">e18500 </t>
  </si>
  <si>
    <t xml:space="preserve">e19200 </t>
  </si>
  <si>
    <t xml:space="preserve">e19800 </t>
  </si>
  <si>
    <t xml:space="preserve">e20100 </t>
  </si>
  <si>
    <t xml:space="preserve">e20400 </t>
  </si>
  <si>
    <t xml:space="preserve">g20500 </t>
  </si>
  <si>
    <t xml:space="preserve">p22250 </t>
  </si>
  <si>
    <t xml:space="preserve">p23250 </t>
  </si>
  <si>
    <t xml:space="preserve">e24515 </t>
  </si>
  <si>
    <t xml:space="preserve">e24518 </t>
  </si>
  <si>
    <t xml:space="preserve">e26270 </t>
  </si>
  <si>
    <t xml:space="preserve">e27200 </t>
  </si>
  <si>
    <t xml:space="preserve">k1bx14p </t>
  </si>
  <si>
    <t xml:space="preserve">k1bx14s </t>
  </si>
  <si>
    <t xml:space="preserve">e07600 </t>
  </si>
  <si>
    <t xml:space="preserve">e32800 </t>
  </si>
  <si>
    <t xml:space="preserve">e58990 </t>
  </si>
  <si>
    <t xml:space="preserve">e62900 </t>
  </si>
  <si>
    <t xml:space="preserve">e87530 </t>
  </si>
  <si>
    <t xml:space="preserve">e87521 </t>
  </si>
  <si>
    <t xml:space="preserve">cmbtp </t>
  </si>
  <si>
    <t xml:space="preserve">other_ben </t>
  </si>
  <si>
    <t xml:space="preserve">mcare_ben </t>
  </si>
  <si>
    <t xml:space="preserve">mcaid_ben </t>
  </si>
  <si>
    <t xml:space="preserve">ssi_ben </t>
  </si>
  <si>
    <t xml:space="preserve">snap_ben </t>
  </si>
  <si>
    <t xml:space="preserve">wic_ben </t>
  </si>
  <si>
    <t xml:space="preserve">housing_ben </t>
  </si>
  <si>
    <t xml:space="preserve">tanf_ben </t>
  </si>
  <si>
    <t xml:space="preserve">vet_ben </t>
  </si>
  <si>
    <t>AWAGE</t>
  </si>
  <si>
    <t>AINTS</t>
  </si>
  <si>
    <t>ADIVS</t>
  </si>
  <si>
    <t>ATXPY</t>
  </si>
  <si>
    <t/>
  </si>
  <si>
    <t>ACGNS</t>
  </si>
  <si>
    <t>ASCHF</t>
  </si>
  <si>
    <t>UCOMP</t>
  </si>
  <si>
    <t>OCSEC</t>
  </si>
  <si>
    <t>ACPIM</t>
  </si>
  <si>
    <t>ABOOK</t>
  </si>
  <si>
    <t>SCHEI</t>
  </si>
  <si>
    <t>OTHER</t>
  </si>
  <si>
    <t>MCARE</t>
  </si>
  <si>
    <t>MCAID</t>
  </si>
  <si>
    <t>ENSSI</t>
  </si>
  <si>
    <t>NSNAP</t>
  </si>
  <si>
    <t>ENWIC</t>
  </si>
  <si>
    <t>USING</t>
  </si>
  <si>
    <t>NTANF</t>
  </si>
  <si>
    <t>ENVET</t>
  </si>
  <si>
    <t>CHCL</t>
  </si>
  <si>
    <t>CHCI</t>
  </si>
  <si>
    <t>CHEI</t>
  </si>
  <si>
    <t>CHEL</t>
  </si>
  <si>
    <t>AIPD</t>
  </si>
  <si>
    <t>vname</t>
  </si>
  <si>
    <t>gfname</t>
  </si>
  <si>
    <t>when e00900s &gt;= 0</t>
  </si>
  <si>
    <t>when e00900s &lt;0</t>
  </si>
  <si>
    <t xml:space="preserve"> </t>
  </si>
  <si>
    <t>when e00900p &gt;= 0</t>
  </si>
  <si>
    <t>when e00900p &lt;0</t>
  </si>
  <si>
    <t>when e02000 &gt;= 0</t>
  </si>
  <si>
    <t>when e02000 &lt;0</t>
  </si>
  <si>
    <t>applyto</t>
  </si>
  <si>
    <t>all</t>
  </si>
  <si>
    <t>ge0</t>
  </si>
  <si>
    <t>lt0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</si>
</sst>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4C37-AEAB-42BD-B49E-BFADC8A2AFF7}">
  <dimension ref="A1:C88"/>
  <sheetViews>
    <sheetView tabSelected="1" topLeftCell="A19" workbookViewId="0">
      <selection activeCell="C26" sqref="C26:C27"/>
    </sheetView>
  </sheetViews>
  <sheetFormatPr defaultRowHeight="15" x14ac:dyDescent="0.25"/>
  <cols>
    <col min="1" max="1" width="12.85546875" bestFit="1" customWidth="1"/>
    <col min="2" max="2" width="7.7109375" bestFit="1" customWidth="1"/>
  </cols>
  <sheetData>
    <row r="1" spans="1:3" x14ac:dyDescent="0.25">
      <c r="A1" t="s">
        <v>210</v>
      </c>
      <c r="B1" t="s">
        <v>211</v>
      </c>
      <c r="C1" t="s">
        <v>219</v>
      </c>
    </row>
    <row r="2" spans="1:3" x14ac:dyDescent="0.25">
      <c r="A2" t="s">
        <v>109</v>
      </c>
      <c r="B2" t="s">
        <v>184</v>
      </c>
      <c r="C2" t="s">
        <v>220</v>
      </c>
    </row>
    <row r="3" spans="1:3" x14ac:dyDescent="0.25">
      <c r="A3" t="s">
        <v>110</v>
      </c>
      <c r="B3" t="s">
        <v>184</v>
      </c>
      <c r="C3" t="s">
        <v>220</v>
      </c>
    </row>
    <row r="4" spans="1:3" x14ac:dyDescent="0.25">
      <c r="A4" t="s">
        <v>111</v>
      </c>
      <c r="B4" t="s">
        <v>184</v>
      </c>
      <c r="C4" t="s">
        <v>220</v>
      </c>
    </row>
    <row r="5" spans="1:3" x14ac:dyDescent="0.25">
      <c r="A5" t="s">
        <v>112</v>
      </c>
      <c r="B5" t="s">
        <v>184</v>
      </c>
      <c r="C5" t="s">
        <v>220</v>
      </c>
    </row>
    <row r="6" spans="1:3" x14ac:dyDescent="0.25">
      <c r="A6" t="s">
        <v>113</v>
      </c>
      <c r="B6" t="s">
        <v>184</v>
      </c>
      <c r="C6" t="s">
        <v>220</v>
      </c>
    </row>
    <row r="7" spans="1:3" x14ac:dyDescent="0.25">
      <c r="A7" t="s">
        <v>114</v>
      </c>
      <c r="B7" t="s">
        <v>185</v>
      </c>
      <c r="C7" t="s">
        <v>220</v>
      </c>
    </row>
    <row r="8" spans="1:3" x14ac:dyDescent="0.25">
      <c r="A8" t="s">
        <v>115</v>
      </c>
      <c r="B8" t="s">
        <v>185</v>
      </c>
      <c r="C8" t="s">
        <v>220</v>
      </c>
    </row>
    <row r="9" spans="1:3" x14ac:dyDescent="0.25">
      <c r="A9" t="s">
        <v>116</v>
      </c>
      <c r="B9" t="s">
        <v>186</v>
      </c>
      <c r="C9" t="s">
        <v>220</v>
      </c>
    </row>
    <row r="10" spans="1:3" x14ac:dyDescent="0.25">
      <c r="A10" t="s">
        <v>117</v>
      </c>
      <c r="B10" t="s">
        <v>186</v>
      </c>
      <c r="C10" t="s">
        <v>220</v>
      </c>
    </row>
    <row r="11" spans="1:3" x14ac:dyDescent="0.25">
      <c r="A11" t="s">
        <v>118</v>
      </c>
      <c r="B11" t="s">
        <v>187</v>
      </c>
      <c r="C11" t="s">
        <v>220</v>
      </c>
    </row>
    <row r="12" spans="1:3" x14ac:dyDescent="0.25">
      <c r="A12" t="s">
        <v>119</v>
      </c>
      <c r="B12" t="s">
        <v>187</v>
      </c>
      <c r="C12" t="s">
        <v>220</v>
      </c>
    </row>
    <row r="13" spans="1:3" x14ac:dyDescent="0.25">
      <c r="B13" t="s">
        <v>188</v>
      </c>
    </row>
    <row r="14" spans="1:3" x14ac:dyDescent="0.25">
      <c r="A14" t="s">
        <v>120</v>
      </c>
      <c r="B14" t="s">
        <v>206</v>
      </c>
      <c r="C14" t="s">
        <v>221</v>
      </c>
    </row>
    <row r="15" spans="1:3" x14ac:dyDescent="0.25">
      <c r="A15" t="s">
        <v>120</v>
      </c>
      <c r="B15" t="s">
        <v>205</v>
      </c>
      <c r="C15" t="s">
        <v>222</v>
      </c>
    </row>
    <row r="16" spans="1:3" x14ac:dyDescent="0.25">
      <c r="B16" t="s">
        <v>188</v>
      </c>
    </row>
    <row r="17" spans="1:3" x14ac:dyDescent="0.25">
      <c r="A17" t="s">
        <v>121</v>
      </c>
      <c r="B17" t="s">
        <v>206</v>
      </c>
      <c r="C17" t="s">
        <v>221</v>
      </c>
    </row>
    <row r="18" spans="1:3" x14ac:dyDescent="0.25">
      <c r="A18" t="s">
        <v>121</v>
      </c>
      <c r="B18" t="s">
        <v>205</v>
      </c>
      <c r="C18" t="s">
        <v>222</v>
      </c>
    </row>
    <row r="19" spans="1:3" x14ac:dyDescent="0.25">
      <c r="B19" t="s">
        <v>188</v>
      </c>
    </row>
    <row r="20" spans="1:3" x14ac:dyDescent="0.25">
      <c r="A20" t="s">
        <v>122</v>
      </c>
      <c r="B20" t="s">
        <v>189</v>
      </c>
      <c r="C20" t="s">
        <v>220</v>
      </c>
    </row>
    <row r="21" spans="1:3" x14ac:dyDescent="0.25">
      <c r="A21" t="s">
        <v>123</v>
      </c>
      <c r="B21" t="s">
        <v>189</v>
      </c>
      <c r="C21" t="s">
        <v>220</v>
      </c>
    </row>
    <row r="22" spans="1:3" x14ac:dyDescent="0.25">
      <c r="A22" t="s">
        <v>124</v>
      </c>
      <c r="B22" t="s">
        <v>187</v>
      </c>
      <c r="C22" t="s">
        <v>220</v>
      </c>
    </row>
    <row r="23" spans="1:3" x14ac:dyDescent="0.25">
      <c r="A23" t="s">
        <v>125</v>
      </c>
      <c r="B23" t="s">
        <v>187</v>
      </c>
      <c r="C23" t="s">
        <v>220</v>
      </c>
    </row>
    <row r="24" spans="1:3" x14ac:dyDescent="0.25">
      <c r="A24" t="s">
        <v>126</v>
      </c>
      <c r="B24" t="s">
        <v>187</v>
      </c>
      <c r="C24" t="s">
        <v>220</v>
      </c>
    </row>
    <row r="25" spans="1:3" x14ac:dyDescent="0.25">
      <c r="B25" t="s">
        <v>188</v>
      </c>
    </row>
    <row r="26" spans="1:3" x14ac:dyDescent="0.25">
      <c r="A26" t="s">
        <v>127</v>
      </c>
      <c r="B26" t="s">
        <v>207</v>
      </c>
      <c r="C26" t="s">
        <v>221</v>
      </c>
    </row>
    <row r="27" spans="1:3" x14ac:dyDescent="0.25">
      <c r="A27" t="s">
        <v>127</v>
      </c>
      <c r="B27" t="s">
        <v>208</v>
      </c>
      <c r="C27" t="s">
        <v>222</v>
      </c>
    </row>
    <row r="28" spans="1:3" x14ac:dyDescent="0.25">
      <c r="A28" t="s">
        <v>128</v>
      </c>
      <c r="B28" t="s">
        <v>190</v>
      </c>
      <c r="C28" t="s">
        <v>220</v>
      </c>
    </row>
    <row r="29" spans="1:3" x14ac:dyDescent="0.25">
      <c r="A29" t="s">
        <v>129</v>
      </c>
      <c r="B29" t="s">
        <v>190</v>
      </c>
      <c r="C29" t="s">
        <v>220</v>
      </c>
    </row>
    <row r="30" spans="1:3" x14ac:dyDescent="0.25">
      <c r="A30" t="s">
        <v>130</v>
      </c>
      <c r="B30" t="s">
        <v>190</v>
      </c>
      <c r="C30" t="s">
        <v>220</v>
      </c>
    </row>
    <row r="31" spans="1:3" x14ac:dyDescent="0.25">
      <c r="A31" t="s">
        <v>131</v>
      </c>
      <c r="B31" t="s">
        <v>191</v>
      </c>
      <c r="C31" t="s">
        <v>220</v>
      </c>
    </row>
    <row r="32" spans="1:3" x14ac:dyDescent="0.25">
      <c r="A32" t="s">
        <v>132</v>
      </c>
      <c r="B32" t="s">
        <v>192</v>
      </c>
      <c r="C32" t="s">
        <v>220</v>
      </c>
    </row>
    <row r="33" spans="1:3" x14ac:dyDescent="0.25">
      <c r="A33" t="s">
        <v>133</v>
      </c>
      <c r="B33" t="s">
        <v>187</v>
      </c>
      <c r="C33" t="s">
        <v>220</v>
      </c>
    </row>
    <row r="34" spans="1:3" x14ac:dyDescent="0.25">
      <c r="A34" t="s">
        <v>134</v>
      </c>
      <c r="B34" t="s">
        <v>187</v>
      </c>
      <c r="C34" t="s">
        <v>220</v>
      </c>
    </row>
    <row r="35" spans="1:3" x14ac:dyDescent="0.25">
      <c r="A35" t="s">
        <v>135</v>
      </c>
      <c r="B35" t="s">
        <v>187</v>
      </c>
      <c r="C35" t="s">
        <v>220</v>
      </c>
    </row>
    <row r="36" spans="1:3" x14ac:dyDescent="0.25">
      <c r="A36" t="s">
        <v>136</v>
      </c>
      <c r="B36" t="s">
        <v>187</v>
      </c>
      <c r="C36" t="s">
        <v>220</v>
      </c>
    </row>
    <row r="37" spans="1:3" x14ac:dyDescent="0.25">
      <c r="A37" t="s">
        <v>137</v>
      </c>
      <c r="B37" t="s">
        <v>193</v>
      </c>
      <c r="C37" t="s">
        <v>220</v>
      </c>
    </row>
    <row r="38" spans="1:3" x14ac:dyDescent="0.25">
      <c r="A38" t="s">
        <v>138</v>
      </c>
      <c r="B38" t="s">
        <v>187</v>
      </c>
      <c r="C38" t="s">
        <v>220</v>
      </c>
    </row>
    <row r="39" spans="1:3" x14ac:dyDescent="0.25">
      <c r="A39" t="s">
        <v>139</v>
      </c>
      <c r="B39" t="s">
        <v>193</v>
      </c>
      <c r="C39" t="s">
        <v>220</v>
      </c>
    </row>
    <row r="40" spans="1:3" x14ac:dyDescent="0.25">
      <c r="A40" t="s">
        <v>140</v>
      </c>
      <c r="B40" t="s">
        <v>187</v>
      </c>
      <c r="C40" t="s">
        <v>220</v>
      </c>
    </row>
    <row r="41" spans="1:3" x14ac:dyDescent="0.25">
      <c r="A41" t="s">
        <v>141</v>
      </c>
      <c r="B41" t="s">
        <v>187</v>
      </c>
      <c r="C41" t="s">
        <v>220</v>
      </c>
    </row>
    <row r="42" spans="1:3" x14ac:dyDescent="0.25">
      <c r="A42" t="s">
        <v>142</v>
      </c>
      <c r="B42" t="s">
        <v>187</v>
      </c>
      <c r="C42" t="s">
        <v>220</v>
      </c>
    </row>
    <row r="43" spans="1:3" x14ac:dyDescent="0.25">
      <c r="A43" t="s">
        <v>143</v>
      </c>
      <c r="B43" t="s">
        <v>187</v>
      </c>
      <c r="C43" t="s">
        <v>220</v>
      </c>
    </row>
    <row r="44" spans="1:3" x14ac:dyDescent="0.25">
      <c r="A44" t="s">
        <v>144</v>
      </c>
      <c r="B44" t="s">
        <v>187</v>
      </c>
      <c r="C44" t="s">
        <v>220</v>
      </c>
    </row>
    <row r="45" spans="1:3" x14ac:dyDescent="0.25">
      <c r="A45" t="s">
        <v>145</v>
      </c>
      <c r="B45" t="s">
        <v>194</v>
      </c>
      <c r="C45" t="s">
        <v>220</v>
      </c>
    </row>
    <row r="46" spans="1:3" x14ac:dyDescent="0.25">
      <c r="A46" t="s">
        <v>146</v>
      </c>
      <c r="B46" t="s">
        <v>194</v>
      </c>
      <c r="C46" t="s">
        <v>220</v>
      </c>
    </row>
    <row r="47" spans="1:3" x14ac:dyDescent="0.25">
      <c r="A47" t="s">
        <v>147</v>
      </c>
      <c r="B47" t="s">
        <v>187</v>
      </c>
      <c r="C47" t="s">
        <v>220</v>
      </c>
    </row>
    <row r="48" spans="1:3" x14ac:dyDescent="0.25">
      <c r="A48" t="s">
        <v>148</v>
      </c>
      <c r="B48" t="s">
        <v>187</v>
      </c>
      <c r="C48" t="s">
        <v>220</v>
      </c>
    </row>
    <row r="49" spans="1:3" x14ac:dyDescent="0.25">
      <c r="A49" t="s">
        <v>149</v>
      </c>
      <c r="B49" t="s">
        <v>187</v>
      </c>
      <c r="C49" t="s">
        <v>220</v>
      </c>
    </row>
    <row r="50" spans="1:3" x14ac:dyDescent="0.25">
      <c r="A50" t="s">
        <v>150</v>
      </c>
      <c r="B50" t="s">
        <v>187</v>
      </c>
      <c r="C50" t="s">
        <v>220</v>
      </c>
    </row>
    <row r="51" spans="1:3" x14ac:dyDescent="0.25">
      <c r="A51" t="s">
        <v>151</v>
      </c>
      <c r="B51" t="s">
        <v>187</v>
      </c>
      <c r="C51" t="s">
        <v>220</v>
      </c>
    </row>
    <row r="52" spans="1:3" x14ac:dyDescent="0.25">
      <c r="B52" t="s">
        <v>188</v>
      </c>
    </row>
    <row r="53" spans="1:3" x14ac:dyDescent="0.25">
      <c r="A53" t="s">
        <v>152</v>
      </c>
      <c r="B53" t="s">
        <v>193</v>
      </c>
      <c r="C53" t="s">
        <v>220</v>
      </c>
    </row>
    <row r="54" spans="1:3" x14ac:dyDescent="0.25">
      <c r="A54" t="s">
        <v>153</v>
      </c>
      <c r="B54" t="s">
        <v>187</v>
      </c>
      <c r="C54" t="s">
        <v>220</v>
      </c>
    </row>
    <row r="55" spans="1:3" x14ac:dyDescent="0.25">
      <c r="A55" t="s">
        <v>154</v>
      </c>
      <c r="B55" t="s">
        <v>187</v>
      </c>
      <c r="C55" t="s">
        <v>220</v>
      </c>
    </row>
    <row r="56" spans="1:3" x14ac:dyDescent="0.25">
      <c r="A56" t="s">
        <v>155</v>
      </c>
      <c r="B56" t="s">
        <v>209</v>
      </c>
      <c r="C56" t="s">
        <v>220</v>
      </c>
    </row>
    <row r="57" spans="1:3" x14ac:dyDescent="0.25">
      <c r="A57" t="s">
        <v>156</v>
      </c>
      <c r="B57" t="s">
        <v>187</v>
      </c>
      <c r="C57" t="s">
        <v>220</v>
      </c>
    </row>
    <row r="58" spans="1:3" x14ac:dyDescent="0.25">
      <c r="A58" t="s">
        <v>157</v>
      </c>
      <c r="B58" t="s">
        <v>187</v>
      </c>
      <c r="C58" t="s">
        <v>220</v>
      </c>
    </row>
    <row r="59" spans="1:3" x14ac:dyDescent="0.25">
      <c r="A59" t="s">
        <v>158</v>
      </c>
      <c r="B59" t="s">
        <v>187</v>
      </c>
      <c r="C59" t="s">
        <v>220</v>
      </c>
    </row>
    <row r="60" spans="1:3" x14ac:dyDescent="0.25">
      <c r="A60" t="s">
        <v>159</v>
      </c>
      <c r="B60" t="s">
        <v>187</v>
      </c>
      <c r="C60" t="s">
        <v>220</v>
      </c>
    </row>
    <row r="61" spans="1:3" x14ac:dyDescent="0.25">
      <c r="B61" t="s">
        <v>188</v>
      </c>
    </row>
    <row r="62" spans="1:3" x14ac:dyDescent="0.25">
      <c r="A62" t="s">
        <v>160</v>
      </c>
      <c r="B62" t="s">
        <v>189</v>
      </c>
      <c r="C62" t="s">
        <v>220</v>
      </c>
    </row>
    <row r="63" spans="1:3" x14ac:dyDescent="0.25">
      <c r="A63" t="s">
        <v>161</v>
      </c>
      <c r="B63" t="s">
        <v>189</v>
      </c>
      <c r="C63" t="s">
        <v>220</v>
      </c>
    </row>
    <row r="64" spans="1:3" x14ac:dyDescent="0.25">
      <c r="A64" t="s">
        <v>162</v>
      </c>
      <c r="B64" t="s">
        <v>189</v>
      </c>
      <c r="C64" t="s">
        <v>220</v>
      </c>
    </row>
    <row r="65" spans="1:3" x14ac:dyDescent="0.25">
      <c r="A65" t="s">
        <v>163</v>
      </c>
      <c r="B65" t="s">
        <v>189</v>
      </c>
      <c r="C65" t="s">
        <v>220</v>
      </c>
    </row>
    <row r="66" spans="1:3" x14ac:dyDescent="0.25">
      <c r="B66" t="s">
        <v>188</v>
      </c>
    </row>
    <row r="67" spans="1:3" x14ac:dyDescent="0.25">
      <c r="A67" t="s">
        <v>164</v>
      </c>
      <c r="B67" t="s">
        <v>195</v>
      </c>
      <c r="C67" t="s">
        <v>220</v>
      </c>
    </row>
    <row r="68" spans="1:3" x14ac:dyDescent="0.25">
      <c r="A68" t="s">
        <v>165</v>
      </c>
      <c r="B68" t="s">
        <v>195</v>
      </c>
      <c r="C68" t="s">
        <v>220</v>
      </c>
    </row>
    <row r="69" spans="1:3" x14ac:dyDescent="0.25">
      <c r="A69" t="s">
        <v>166</v>
      </c>
      <c r="B69" t="s">
        <v>195</v>
      </c>
      <c r="C69" t="s">
        <v>220</v>
      </c>
    </row>
    <row r="70" spans="1:3" x14ac:dyDescent="0.25">
      <c r="A70" t="s">
        <v>167</v>
      </c>
      <c r="B70" t="s">
        <v>195</v>
      </c>
      <c r="C70" t="s">
        <v>220</v>
      </c>
    </row>
    <row r="71" spans="1:3" x14ac:dyDescent="0.25">
      <c r="B71" t="s">
        <v>188</v>
      </c>
    </row>
    <row r="72" spans="1:3" x14ac:dyDescent="0.25">
      <c r="A72" t="s">
        <v>168</v>
      </c>
      <c r="B72" t="s">
        <v>187</v>
      </c>
      <c r="C72" t="s">
        <v>220</v>
      </c>
    </row>
    <row r="73" spans="1:3" x14ac:dyDescent="0.25">
      <c r="A73" t="s">
        <v>169</v>
      </c>
      <c r="B73" t="s">
        <v>187</v>
      </c>
      <c r="C73" t="s">
        <v>220</v>
      </c>
    </row>
    <row r="74" spans="1:3" x14ac:dyDescent="0.25">
      <c r="A74" t="s">
        <v>170</v>
      </c>
      <c r="B74" t="s">
        <v>187</v>
      </c>
      <c r="C74" t="s">
        <v>220</v>
      </c>
    </row>
    <row r="75" spans="1:3" x14ac:dyDescent="0.25">
      <c r="A75" t="s">
        <v>171</v>
      </c>
      <c r="B75" t="s">
        <v>187</v>
      </c>
      <c r="C75" t="s">
        <v>220</v>
      </c>
    </row>
    <row r="76" spans="1:3" x14ac:dyDescent="0.25">
      <c r="A76" t="s">
        <v>172</v>
      </c>
      <c r="B76" t="s">
        <v>187</v>
      </c>
      <c r="C76" t="s">
        <v>220</v>
      </c>
    </row>
    <row r="77" spans="1:3" x14ac:dyDescent="0.25">
      <c r="A77" t="s">
        <v>173</v>
      </c>
      <c r="B77" t="s">
        <v>187</v>
      </c>
      <c r="C77" t="s">
        <v>220</v>
      </c>
    </row>
    <row r="78" spans="1:3" x14ac:dyDescent="0.25">
      <c r="A78" t="s">
        <v>174</v>
      </c>
      <c r="B78" t="s">
        <v>187</v>
      </c>
      <c r="C78" t="s">
        <v>220</v>
      </c>
    </row>
    <row r="79" spans="1:3" x14ac:dyDescent="0.25">
      <c r="B79" t="s">
        <v>188</v>
      </c>
    </row>
    <row r="80" spans="1:3" x14ac:dyDescent="0.25">
      <c r="A80" t="s">
        <v>175</v>
      </c>
      <c r="B80" t="s">
        <v>196</v>
      </c>
      <c r="C80" t="s">
        <v>220</v>
      </c>
    </row>
    <row r="81" spans="1:3" x14ac:dyDescent="0.25">
      <c r="A81" t="s">
        <v>176</v>
      </c>
      <c r="B81" t="s">
        <v>197</v>
      </c>
      <c r="C81" t="s">
        <v>220</v>
      </c>
    </row>
    <row r="82" spans="1:3" x14ac:dyDescent="0.25">
      <c r="A82" t="s">
        <v>177</v>
      </c>
      <c r="B82" t="s">
        <v>198</v>
      </c>
      <c r="C82" t="s">
        <v>220</v>
      </c>
    </row>
    <row r="83" spans="1:3" x14ac:dyDescent="0.25">
      <c r="A83" t="s">
        <v>178</v>
      </c>
      <c r="B83" t="s">
        <v>199</v>
      </c>
      <c r="C83" t="s">
        <v>220</v>
      </c>
    </row>
    <row r="84" spans="1:3" x14ac:dyDescent="0.25">
      <c r="A84" t="s">
        <v>179</v>
      </c>
      <c r="B84" t="s">
        <v>200</v>
      </c>
      <c r="C84" t="s">
        <v>220</v>
      </c>
    </row>
    <row r="85" spans="1:3" x14ac:dyDescent="0.25">
      <c r="A85" t="s">
        <v>180</v>
      </c>
      <c r="B85" t="s">
        <v>201</v>
      </c>
      <c r="C85" t="s">
        <v>220</v>
      </c>
    </row>
    <row r="86" spans="1:3" x14ac:dyDescent="0.25">
      <c r="A86" t="s">
        <v>181</v>
      </c>
      <c r="B86" t="s">
        <v>202</v>
      </c>
      <c r="C86" t="s">
        <v>220</v>
      </c>
    </row>
    <row r="87" spans="1:3" x14ac:dyDescent="0.25">
      <c r="A87" t="s">
        <v>182</v>
      </c>
      <c r="B87" t="s">
        <v>203</v>
      </c>
      <c r="C87" t="s">
        <v>220</v>
      </c>
    </row>
    <row r="88" spans="1:3" x14ac:dyDescent="0.25">
      <c r="A88" t="s">
        <v>183</v>
      </c>
      <c r="B88" t="s">
        <v>204</v>
      </c>
      <c r="C88" t="s">
        <v>220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90097-6C51-48C1-BF7D-EE970559F41F}">
  <dimension ref="B4:J90"/>
  <sheetViews>
    <sheetView topLeftCell="A7" workbookViewId="0">
      <selection activeCell="J29" sqref="J29"/>
    </sheetView>
  </sheetViews>
  <sheetFormatPr defaultRowHeight="15" x14ac:dyDescent="0.25"/>
  <cols>
    <col min="2" max="2" width="44.28515625" bestFit="1" customWidth="1"/>
    <col min="3" max="3" width="20.85546875" bestFit="1" customWidth="1"/>
    <col min="7" max="7" width="12.85546875" bestFit="1" customWidth="1"/>
  </cols>
  <sheetData>
    <row r="4" spans="2:10" x14ac:dyDescent="0.25">
      <c r="B4" t="s">
        <v>9</v>
      </c>
      <c r="C4" t="s">
        <v>10</v>
      </c>
      <c r="D4" t="str">
        <f>+RIGHT(C4,7)</f>
        <v>AWAGE']</v>
      </c>
      <c r="E4" t="str">
        <f>SUBSTITUTE(D4,"']","")</f>
        <v>AWAGE</v>
      </c>
      <c r="G4" t="s">
        <v>109</v>
      </c>
      <c r="H4" t="s">
        <v>184</v>
      </c>
    </row>
    <row r="5" spans="2:10" x14ac:dyDescent="0.25">
      <c r="B5" t="s">
        <v>11</v>
      </c>
      <c r="C5" t="s">
        <v>10</v>
      </c>
      <c r="D5" t="str">
        <f>+RIGHT(C5,7)</f>
        <v>AWAGE']</v>
      </c>
      <c r="E5" t="str">
        <f t="shared" ref="E5:E68" si="0">SUBSTITUTE(D5,"']","")</f>
        <v>AWAGE</v>
      </c>
      <c r="G5" t="s">
        <v>110</v>
      </c>
      <c r="H5" t="s">
        <v>184</v>
      </c>
    </row>
    <row r="6" spans="2:10" x14ac:dyDescent="0.25">
      <c r="B6" t="s">
        <v>12</v>
      </c>
      <c r="C6" t="s">
        <v>10</v>
      </c>
      <c r="D6" t="str">
        <f>+RIGHT(C6,7)</f>
        <v>AWAGE']</v>
      </c>
      <c r="E6" t="str">
        <f t="shared" si="0"/>
        <v>AWAGE</v>
      </c>
      <c r="G6" t="s">
        <v>111</v>
      </c>
      <c r="H6" t="s">
        <v>184</v>
      </c>
    </row>
    <row r="7" spans="2:10" x14ac:dyDescent="0.25">
      <c r="B7" t="s">
        <v>13</v>
      </c>
      <c r="C7" t="s">
        <v>10</v>
      </c>
      <c r="D7" t="str">
        <f>+RIGHT(C7,7)</f>
        <v>AWAGE']</v>
      </c>
      <c r="E7" t="str">
        <f t="shared" si="0"/>
        <v>AWAGE</v>
      </c>
      <c r="G7" t="s">
        <v>112</v>
      </c>
      <c r="H7" t="s">
        <v>184</v>
      </c>
    </row>
    <row r="8" spans="2:10" x14ac:dyDescent="0.25">
      <c r="B8" t="s">
        <v>14</v>
      </c>
      <c r="C8" t="s">
        <v>10</v>
      </c>
      <c r="D8" t="str">
        <f>+RIGHT(C8,7)</f>
        <v>AWAGE']</v>
      </c>
      <c r="E8" t="str">
        <f t="shared" si="0"/>
        <v>AWAGE</v>
      </c>
      <c r="G8" t="s">
        <v>113</v>
      </c>
      <c r="H8" t="s">
        <v>184</v>
      </c>
    </row>
    <row r="9" spans="2:10" x14ac:dyDescent="0.25">
      <c r="B9" t="s">
        <v>15</v>
      </c>
      <c r="C9" t="s">
        <v>16</v>
      </c>
      <c r="D9" t="str">
        <f>+RIGHT(C9,7)</f>
        <v>AINTS']</v>
      </c>
      <c r="E9" t="str">
        <f t="shared" si="0"/>
        <v>AINTS</v>
      </c>
      <c r="G9" t="s">
        <v>114</v>
      </c>
      <c r="H9" t="s">
        <v>185</v>
      </c>
    </row>
    <row r="10" spans="2:10" x14ac:dyDescent="0.25">
      <c r="B10" t="s">
        <v>17</v>
      </c>
      <c r="C10" t="s">
        <v>16</v>
      </c>
      <c r="D10" t="str">
        <f>+RIGHT(C10,7)</f>
        <v>AINTS']</v>
      </c>
      <c r="E10" t="str">
        <f t="shared" si="0"/>
        <v>AINTS</v>
      </c>
      <c r="G10" t="s">
        <v>115</v>
      </c>
      <c r="H10" t="s">
        <v>185</v>
      </c>
    </row>
    <row r="11" spans="2:10" x14ac:dyDescent="0.25">
      <c r="B11" t="s">
        <v>18</v>
      </c>
      <c r="C11" t="s">
        <v>19</v>
      </c>
      <c r="D11" t="str">
        <f>+RIGHT(C11,7)</f>
        <v>ADIVS']</v>
      </c>
      <c r="E11" t="str">
        <f t="shared" si="0"/>
        <v>ADIVS</v>
      </c>
      <c r="G11" t="s">
        <v>116</v>
      </c>
      <c r="H11" t="s">
        <v>186</v>
      </c>
    </row>
    <row r="12" spans="2:10" x14ac:dyDescent="0.25">
      <c r="B12" t="s">
        <v>20</v>
      </c>
      <c r="C12" t="s">
        <v>19</v>
      </c>
      <c r="D12" t="str">
        <f>+RIGHT(C12,7)</f>
        <v>ADIVS']</v>
      </c>
      <c r="E12" t="str">
        <f t="shared" si="0"/>
        <v>ADIVS</v>
      </c>
      <c r="G12" t="s">
        <v>117</v>
      </c>
      <c r="H12" t="s">
        <v>186</v>
      </c>
    </row>
    <row r="13" spans="2:10" x14ac:dyDescent="0.25">
      <c r="B13" t="s">
        <v>21</v>
      </c>
      <c r="C13" t="s">
        <v>22</v>
      </c>
      <c r="D13" t="str">
        <f>+RIGHT(C13,7)</f>
        <v>ATXPY']</v>
      </c>
      <c r="E13" t="str">
        <f t="shared" si="0"/>
        <v>ATXPY</v>
      </c>
      <c r="G13" t="s">
        <v>118</v>
      </c>
      <c r="H13" t="s">
        <v>187</v>
      </c>
    </row>
    <row r="14" spans="2:10" x14ac:dyDescent="0.25">
      <c r="B14" t="s">
        <v>23</v>
      </c>
      <c r="C14" t="s">
        <v>22</v>
      </c>
      <c r="D14" t="str">
        <f>+RIGHT(C14,7)</f>
        <v>ATXPY']</v>
      </c>
      <c r="E14" t="str">
        <f t="shared" si="0"/>
        <v>ATXPY</v>
      </c>
      <c r="G14" t="s">
        <v>119</v>
      </c>
      <c r="H14" t="s">
        <v>187</v>
      </c>
    </row>
    <row r="15" spans="2:10" x14ac:dyDescent="0.25">
      <c r="B15" t="s">
        <v>0</v>
      </c>
      <c r="D15" t="str">
        <f>+RIGHT(C15,7)</f>
        <v/>
      </c>
      <c r="E15" t="str">
        <f t="shared" si="0"/>
        <v/>
      </c>
      <c r="H15" t="s">
        <v>188</v>
      </c>
    </row>
    <row r="16" spans="2:10" x14ac:dyDescent="0.25">
      <c r="B16" t="s">
        <v>24</v>
      </c>
      <c r="C16" t="s">
        <v>25</v>
      </c>
      <c r="D16" t="str">
        <f>+RIGHT(C16,7)</f>
        <v>CHCI'],</v>
      </c>
      <c r="E16" t="str">
        <f t="shared" si="0"/>
        <v>CHCI,</v>
      </c>
      <c r="G16" t="s">
        <v>120</v>
      </c>
      <c r="H16" t="s">
        <v>206</v>
      </c>
      <c r="J16" t="s">
        <v>212</v>
      </c>
    </row>
    <row r="17" spans="2:10" x14ac:dyDescent="0.25">
      <c r="B17" t="s">
        <v>24</v>
      </c>
      <c r="C17" t="s">
        <v>26</v>
      </c>
      <c r="D17" t="str">
        <f>+RIGHT(C17,7)</f>
        <v>CHCL'])</v>
      </c>
      <c r="E17" t="str">
        <f t="shared" si="0"/>
        <v>CHCL)</v>
      </c>
      <c r="G17" t="s">
        <v>120</v>
      </c>
      <c r="H17" t="s">
        <v>205</v>
      </c>
      <c r="I17" t="s">
        <v>214</v>
      </c>
      <c r="J17" t="s">
        <v>213</v>
      </c>
    </row>
    <row r="18" spans="2:10" x14ac:dyDescent="0.25">
      <c r="B18" t="s">
        <v>1</v>
      </c>
      <c r="D18" t="str">
        <f>+RIGHT(C18,7)</f>
        <v/>
      </c>
      <c r="E18" t="str">
        <f t="shared" si="0"/>
        <v/>
      </c>
      <c r="H18" t="s">
        <v>188</v>
      </c>
    </row>
    <row r="19" spans="2:10" x14ac:dyDescent="0.25">
      <c r="B19" t="s">
        <v>27</v>
      </c>
      <c r="C19" t="s">
        <v>25</v>
      </c>
      <c r="D19" t="str">
        <f>+RIGHT(C19,7)</f>
        <v>CHCI'],</v>
      </c>
      <c r="E19" t="str">
        <f t="shared" si="0"/>
        <v>CHCI,</v>
      </c>
      <c r="G19" t="s">
        <v>121</v>
      </c>
      <c r="H19" t="s">
        <v>206</v>
      </c>
      <c r="J19" t="s">
        <v>215</v>
      </c>
    </row>
    <row r="20" spans="2:10" x14ac:dyDescent="0.25">
      <c r="B20" t="s">
        <v>27</v>
      </c>
      <c r="C20" t="s">
        <v>26</v>
      </c>
      <c r="D20" t="str">
        <f>+RIGHT(C20,7)</f>
        <v>CHCL'])</v>
      </c>
      <c r="E20" t="str">
        <f t="shared" si="0"/>
        <v>CHCL)</v>
      </c>
      <c r="G20" t="s">
        <v>121</v>
      </c>
      <c r="H20" t="s">
        <v>205</v>
      </c>
      <c r="J20" t="s">
        <v>216</v>
      </c>
    </row>
    <row r="21" spans="2:10" x14ac:dyDescent="0.25">
      <c r="B21" t="s">
        <v>2</v>
      </c>
      <c r="D21" t="str">
        <f>+RIGHT(C21,7)</f>
        <v/>
      </c>
      <c r="E21" t="str">
        <f t="shared" si="0"/>
        <v/>
      </c>
      <c r="H21" t="s">
        <v>188</v>
      </c>
    </row>
    <row r="22" spans="2:10" x14ac:dyDescent="0.25">
      <c r="B22" t="s">
        <v>28</v>
      </c>
      <c r="C22" t="s">
        <v>29</v>
      </c>
      <c r="D22" t="str">
        <f>+RIGHT(C22,7)</f>
        <v>ACGNS']</v>
      </c>
      <c r="E22" t="str">
        <f t="shared" si="0"/>
        <v>ACGNS</v>
      </c>
      <c r="G22" t="s">
        <v>122</v>
      </c>
      <c r="H22" t="s">
        <v>189</v>
      </c>
    </row>
    <row r="23" spans="2:10" x14ac:dyDescent="0.25">
      <c r="B23" t="s">
        <v>30</v>
      </c>
      <c r="C23" t="s">
        <v>29</v>
      </c>
      <c r="D23" t="str">
        <f>+RIGHT(C23,7)</f>
        <v>ACGNS']</v>
      </c>
      <c r="E23" t="str">
        <f t="shared" si="0"/>
        <v>ACGNS</v>
      </c>
      <c r="G23" t="s">
        <v>123</v>
      </c>
      <c r="H23" t="s">
        <v>189</v>
      </c>
    </row>
    <row r="24" spans="2:10" x14ac:dyDescent="0.25">
      <c r="B24" t="s">
        <v>31</v>
      </c>
      <c r="C24" t="s">
        <v>22</v>
      </c>
      <c r="D24" t="str">
        <f>+RIGHT(C24,7)</f>
        <v>ATXPY']</v>
      </c>
      <c r="E24" t="str">
        <f t="shared" si="0"/>
        <v>ATXPY</v>
      </c>
      <c r="G24" t="s">
        <v>124</v>
      </c>
      <c r="H24" t="s">
        <v>187</v>
      </c>
    </row>
    <row r="25" spans="2:10" x14ac:dyDescent="0.25">
      <c r="B25" t="s">
        <v>32</v>
      </c>
      <c r="C25" t="s">
        <v>22</v>
      </c>
      <c r="D25" t="str">
        <f>+RIGHT(C25,7)</f>
        <v>ATXPY']</v>
      </c>
      <c r="E25" t="str">
        <f t="shared" si="0"/>
        <v>ATXPY</v>
      </c>
      <c r="G25" t="s">
        <v>125</v>
      </c>
      <c r="H25" t="s">
        <v>187</v>
      </c>
    </row>
    <row r="26" spans="2:10" x14ac:dyDescent="0.25">
      <c r="B26" t="s">
        <v>33</v>
      </c>
      <c r="C26" t="s">
        <v>22</v>
      </c>
      <c r="D26" t="str">
        <f>+RIGHT(C26,7)</f>
        <v>ATXPY']</v>
      </c>
      <c r="E26" t="str">
        <f t="shared" si="0"/>
        <v>ATXPY</v>
      </c>
      <c r="G26" t="s">
        <v>126</v>
      </c>
      <c r="H26" t="s">
        <v>187</v>
      </c>
    </row>
    <row r="27" spans="2:10" x14ac:dyDescent="0.25">
      <c r="B27" t="s">
        <v>3</v>
      </c>
      <c r="D27" t="str">
        <f>+RIGHT(C27,7)</f>
        <v/>
      </c>
      <c r="E27" t="str">
        <f t="shared" si="0"/>
        <v/>
      </c>
      <c r="H27" t="s">
        <v>188</v>
      </c>
    </row>
    <row r="28" spans="2:10" x14ac:dyDescent="0.25">
      <c r="B28" t="s">
        <v>34</v>
      </c>
      <c r="C28" t="s">
        <v>35</v>
      </c>
      <c r="D28" t="str">
        <f>+RIGHT(C28,7)</f>
        <v>CHEI'],</v>
      </c>
      <c r="E28" t="str">
        <f t="shared" si="0"/>
        <v>CHEI,</v>
      </c>
      <c r="G28" t="s">
        <v>127</v>
      </c>
      <c r="H28" t="s">
        <v>207</v>
      </c>
      <c r="J28" t="s">
        <v>217</v>
      </c>
    </row>
    <row r="29" spans="2:10" x14ac:dyDescent="0.25">
      <c r="B29" t="s">
        <v>34</v>
      </c>
      <c r="C29" t="s">
        <v>36</v>
      </c>
      <c r="D29" t="str">
        <f>+RIGHT(C29,7)</f>
        <v>CHEL'])</v>
      </c>
      <c r="E29" t="str">
        <f t="shared" si="0"/>
        <v>CHEL)</v>
      </c>
      <c r="G29" t="s">
        <v>127</v>
      </c>
      <c r="H29" t="s">
        <v>208</v>
      </c>
      <c r="J29" t="s">
        <v>218</v>
      </c>
    </row>
    <row r="30" spans="2:10" x14ac:dyDescent="0.25">
      <c r="B30" t="s">
        <v>37</v>
      </c>
      <c r="C30" t="s">
        <v>38</v>
      </c>
      <c r="D30" t="str">
        <f>+RIGHT(C30,7)</f>
        <v>ASCHF']</v>
      </c>
      <c r="E30" t="str">
        <f t="shared" si="0"/>
        <v>ASCHF</v>
      </c>
      <c r="G30" t="s">
        <v>128</v>
      </c>
      <c r="H30" t="s">
        <v>190</v>
      </c>
    </row>
    <row r="31" spans="2:10" x14ac:dyDescent="0.25">
      <c r="B31" t="s">
        <v>39</v>
      </c>
      <c r="C31" t="s">
        <v>38</v>
      </c>
      <c r="D31" t="str">
        <f>+RIGHT(C31,7)</f>
        <v>ASCHF']</v>
      </c>
      <c r="E31" t="str">
        <f t="shared" si="0"/>
        <v>ASCHF</v>
      </c>
      <c r="G31" t="s">
        <v>129</v>
      </c>
      <c r="H31" t="s">
        <v>190</v>
      </c>
    </row>
    <row r="32" spans="2:10" x14ac:dyDescent="0.25">
      <c r="B32" t="s">
        <v>40</v>
      </c>
      <c r="C32" t="s">
        <v>38</v>
      </c>
      <c r="D32" t="str">
        <f>+RIGHT(C32,7)</f>
        <v>ASCHF']</v>
      </c>
      <c r="E32" t="str">
        <f t="shared" si="0"/>
        <v>ASCHF</v>
      </c>
      <c r="G32" t="s">
        <v>130</v>
      </c>
      <c r="H32" t="s">
        <v>190</v>
      </c>
    </row>
    <row r="33" spans="2:8" x14ac:dyDescent="0.25">
      <c r="B33" t="s">
        <v>41</v>
      </c>
      <c r="C33" t="s">
        <v>42</v>
      </c>
      <c r="D33" t="str">
        <f>+RIGHT(C33,7)</f>
        <v>UCOMP']</v>
      </c>
      <c r="E33" t="str">
        <f t="shared" si="0"/>
        <v>UCOMP</v>
      </c>
      <c r="G33" t="s">
        <v>131</v>
      </c>
      <c r="H33" t="s">
        <v>191</v>
      </c>
    </row>
    <row r="34" spans="2:8" x14ac:dyDescent="0.25">
      <c r="B34" t="s">
        <v>43</v>
      </c>
      <c r="C34" t="s">
        <v>44</v>
      </c>
      <c r="D34" t="str">
        <f>+RIGHT(C34,7)</f>
        <v>OCSEC']</v>
      </c>
      <c r="E34" t="str">
        <f t="shared" si="0"/>
        <v>OCSEC</v>
      </c>
      <c r="G34" t="s">
        <v>132</v>
      </c>
      <c r="H34" t="s">
        <v>192</v>
      </c>
    </row>
    <row r="35" spans="2:8" x14ac:dyDescent="0.25">
      <c r="B35" t="s">
        <v>45</v>
      </c>
      <c r="C35" t="s">
        <v>22</v>
      </c>
      <c r="D35" t="str">
        <f>+RIGHT(C35,7)</f>
        <v>ATXPY']</v>
      </c>
      <c r="E35" t="str">
        <f t="shared" si="0"/>
        <v>ATXPY</v>
      </c>
      <c r="G35" t="s">
        <v>133</v>
      </c>
      <c r="H35" t="s">
        <v>187</v>
      </c>
    </row>
    <row r="36" spans="2:8" x14ac:dyDescent="0.25">
      <c r="B36" t="s">
        <v>46</v>
      </c>
      <c r="C36" t="s">
        <v>22</v>
      </c>
      <c r="D36" t="str">
        <f>+RIGHT(C36,7)</f>
        <v>ATXPY']</v>
      </c>
      <c r="E36" t="str">
        <f t="shared" si="0"/>
        <v>ATXPY</v>
      </c>
      <c r="G36" t="s">
        <v>134</v>
      </c>
      <c r="H36" t="s">
        <v>187</v>
      </c>
    </row>
    <row r="37" spans="2:8" x14ac:dyDescent="0.25">
      <c r="B37" t="s">
        <v>47</v>
      </c>
      <c r="C37" t="s">
        <v>22</v>
      </c>
      <c r="D37" t="str">
        <f>+RIGHT(C37,7)</f>
        <v>ATXPY']</v>
      </c>
      <c r="E37" t="str">
        <f t="shared" si="0"/>
        <v>ATXPY</v>
      </c>
      <c r="G37" t="s">
        <v>135</v>
      </c>
      <c r="H37" t="s">
        <v>187</v>
      </c>
    </row>
    <row r="38" spans="2:8" x14ac:dyDescent="0.25">
      <c r="B38" t="s">
        <v>48</v>
      </c>
      <c r="C38" t="s">
        <v>22</v>
      </c>
      <c r="D38" t="str">
        <f>+RIGHT(C38,7)</f>
        <v>ATXPY']</v>
      </c>
      <c r="E38" t="str">
        <f t="shared" si="0"/>
        <v>ATXPY</v>
      </c>
      <c r="G38" t="s">
        <v>136</v>
      </c>
      <c r="H38" t="s">
        <v>187</v>
      </c>
    </row>
    <row r="39" spans="2:8" x14ac:dyDescent="0.25">
      <c r="B39" t="s">
        <v>49</v>
      </c>
      <c r="C39" t="s">
        <v>50</v>
      </c>
      <c r="D39" t="str">
        <f>+RIGHT(C39,7)</f>
        <v>ACPIM']</v>
      </c>
      <c r="E39" t="str">
        <f t="shared" si="0"/>
        <v>ACPIM</v>
      </c>
      <c r="G39" t="s">
        <v>137</v>
      </c>
      <c r="H39" t="s">
        <v>193</v>
      </c>
    </row>
    <row r="40" spans="2:8" x14ac:dyDescent="0.25">
      <c r="B40" t="s">
        <v>51</v>
      </c>
      <c r="C40" t="s">
        <v>22</v>
      </c>
      <c r="D40" t="str">
        <f>+RIGHT(C40,7)</f>
        <v>ATXPY']</v>
      </c>
      <c r="E40" t="str">
        <f t="shared" si="0"/>
        <v>ATXPY</v>
      </c>
      <c r="G40" t="s">
        <v>138</v>
      </c>
      <c r="H40" t="s">
        <v>187</v>
      </c>
    </row>
    <row r="41" spans="2:8" x14ac:dyDescent="0.25">
      <c r="B41" t="s">
        <v>52</v>
      </c>
      <c r="C41" t="s">
        <v>50</v>
      </c>
      <c r="D41" t="str">
        <f>+RIGHT(C41,7)</f>
        <v>ACPIM']</v>
      </c>
      <c r="E41" t="str">
        <f t="shared" si="0"/>
        <v>ACPIM</v>
      </c>
      <c r="G41" t="s">
        <v>139</v>
      </c>
      <c r="H41" t="s">
        <v>193</v>
      </c>
    </row>
    <row r="42" spans="2:8" x14ac:dyDescent="0.25">
      <c r="B42" t="s">
        <v>53</v>
      </c>
      <c r="C42" t="s">
        <v>22</v>
      </c>
      <c r="D42" t="str">
        <f>+RIGHT(C42,7)</f>
        <v>ATXPY']</v>
      </c>
      <c r="E42" t="str">
        <f t="shared" si="0"/>
        <v>ATXPY</v>
      </c>
      <c r="G42" t="s">
        <v>140</v>
      </c>
      <c r="H42" t="s">
        <v>187</v>
      </c>
    </row>
    <row r="43" spans="2:8" x14ac:dyDescent="0.25">
      <c r="B43" t="s">
        <v>54</v>
      </c>
      <c r="C43" t="s">
        <v>22</v>
      </c>
      <c r="D43" t="str">
        <f>+RIGHT(C43,7)</f>
        <v>ATXPY']</v>
      </c>
      <c r="E43" t="str">
        <f t="shared" si="0"/>
        <v>ATXPY</v>
      </c>
      <c r="G43" t="s">
        <v>141</v>
      </c>
      <c r="H43" t="s">
        <v>187</v>
      </c>
    </row>
    <row r="44" spans="2:8" x14ac:dyDescent="0.25">
      <c r="B44" t="s">
        <v>55</v>
      </c>
      <c r="C44" t="s">
        <v>22</v>
      </c>
      <c r="D44" t="str">
        <f>+RIGHT(C44,7)</f>
        <v>ATXPY']</v>
      </c>
      <c r="E44" t="str">
        <f t="shared" si="0"/>
        <v>ATXPY</v>
      </c>
      <c r="G44" t="s">
        <v>142</v>
      </c>
      <c r="H44" t="s">
        <v>187</v>
      </c>
    </row>
    <row r="45" spans="2:8" x14ac:dyDescent="0.25">
      <c r="B45" t="s">
        <v>56</v>
      </c>
      <c r="C45" t="s">
        <v>22</v>
      </c>
      <c r="D45" t="str">
        <f>+RIGHT(C45,7)</f>
        <v>ATXPY']</v>
      </c>
      <c r="E45" t="str">
        <f t="shared" si="0"/>
        <v>ATXPY</v>
      </c>
      <c r="G45" t="s">
        <v>143</v>
      </c>
      <c r="H45" t="s">
        <v>187</v>
      </c>
    </row>
    <row r="46" spans="2:8" x14ac:dyDescent="0.25">
      <c r="B46" t="s">
        <v>57</v>
      </c>
      <c r="C46" t="s">
        <v>22</v>
      </c>
      <c r="D46" t="str">
        <f>+RIGHT(C46,7)</f>
        <v>ATXPY']</v>
      </c>
      <c r="E46" t="str">
        <f t="shared" si="0"/>
        <v>ATXPY</v>
      </c>
      <c r="G46" t="s">
        <v>144</v>
      </c>
      <c r="H46" t="s">
        <v>187</v>
      </c>
    </row>
    <row r="47" spans="2:8" x14ac:dyDescent="0.25">
      <c r="B47" t="s">
        <v>58</v>
      </c>
      <c r="C47" t="s">
        <v>59</v>
      </c>
      <c r="D47" t="str">
        <f>+RIGHT(C47,7)</f>
        <v>ABOOK']</v>
      </c>
      <c r="E47" t="str">
        <f t="shared" si="0"/>
        <v>ABOOK</v>
      </c>
      <c r="G47" t="s">
        <v>145</v>
      </c>
      <c r="H47" t="s">
        <v>194</v>
      </c>
    </row>
    <row r="48" spans="2:8" x14ac:dyDescent="0.25">
      <c r="B48" t="s">
        <v>60</v>
      </c>
      <c r="C48" t="s">
        <v>59</v>
      </c>
      <c r="D48" t="str">
        <f>+RIGHT(C48,7)</f>
        <v>ABOOK']</v>
      </c>
      <c r="E48" t="str">
        <f t="shared" si="0"/>
        <v>ABOOK</v>
      </c>
      <c r="G48" t="s">
        <v>146</v>
      </c>
      <c r="H48" t="s">
        <v>194</v>
      </c>
    </row>
    <row r="49" spans="2:8" x14ac:dyDescent="0.25">
      <c r="B49" t="s">
        <v>61</v>
      </c>
      <c r="C49" t="s">
        <v>22</v>
      </c>
      <c r="D49" t="str">
        <f>+RIGHT(C49,7)</f>
        <v>ATXPY']</v>
      </c>
      <c r="E49" t="str">
        <f t="shared" si="0"/>
        <v>ATXPY</v>
      </c>
      <c r="G49" t="s">
        <v>147</v>
      </c>
      <c r="H49" t="s">
        <v>187</v>
      </c>
    </row>
    <row r="50" spans="2:8" x14ac:dyDescent="0.25">
      <c r="B50" t="s">
        <v>62</v>
      </c>
      <c r="C50" t="s">
        <v>22</v>
      </c>
      <c r="D50" t="str">
        <f>+RIGHT(C50,7)</f>
        <v>ATXPY']</v>
      </c>
      <c r="E50" t="str">
        <f t="shared" si="0"/>
        <v>ATXPY</v>
      </c>
      <c r="G50" t="s">
        <v>148</v>
      </c>
      <c r="H50" t="s">
        <v>187</v>
      </c>
    </row>
    <row r="51" spans="2:8" x14ac:dyDescent="0.25">
      <c r="B51" t="s">
        <v>63</v>
      </c>
      <c r="C51" t="s">
        <v>22</v>
      </c>
      <c r="D51" t="str">
        <f>+RIGHT(C51,7)</f>
        <v>ATXPY']</v>
      </c>
      <c r="E51" t="str">
        <f t="shared" si="0"/>
        <v>ATXPY</v>
      </c>
      <c r="G51" t="s">
        <v>149</v>
      </c>
      <c r="H51" t="s">
        <v>187</v>
      </c>
    </row>
    <row r="52" spans="2:8" x14ac:dyDescent="0.25">
      <c r="B52" t="s">
        <v>64</v>
      </c>
      <c r="C52" t="s">
        <v>22</v>
      </c>
      <c r="D52" t="str">
        <f>+RIGHT(C52,7)</f>
        <v>ATXPY']</v>
      </c>
      <c r="E52" t="str">
        <f t="shared" si="0"/>
        <v>ATXPY</v>
      </c>
      <c r="G52" t="s">
        <v>150</v>
      </c>
      <c r="H52" t="s">
        <v>187</v>
      </c>
    </row>
    <row r="53" spans="2:8" x14ac:dyDescent="0.25">
      <c r="B53" t="s">
        <v>65</v>
      </c>
      <c r="C53" t="s">
        <v>22</v>
      </c>
      <c r="D53" t="str">
        <f>+RIGHT(C53,7)</f>
        <v>ATXPY']</v>
      </c>
      <c r="E53" t="str">
        <f t="shared" si="0"/>
        <v>ATXPY</v>
      </c>
      <c r="G53" t="s">
        <v>151</v>
      </c>
      <c r="H53" t="s">
        <v>187</v>
      </c>
    </row>
    <row r="54" spans="2:8" x14ac:dyDescent="0.25">
      <c r="B54" t="s">
        <v>4</v>
      </c>
      <c r="D54" t="str">
        <f>+RIGHT(C54,7)</f>
        <v/>
      </c>
      <c r="E54" t="str">
        <f t="shared" si="0"/>
        <v/>
      </c>
      <c r="H54" t="s">
        <v>188</v>
      </c>
    </row>
    <row r="55" spans="2:8" x14ac:dyDescent="0.25">
      <c r="B55" t="s">
        <v>66</v>
      </c>
      <c r="C55" t="s">
        <v>50</v>
      </c>
      <c r="D55" t="str">
        <f>+RIGHT(C55,7)</f>
        <v>ACPIM']</v>
      </c>
      <c r="E55" t="str">
        <f t="shared" si="0"/>
        <v>ACPIM</v>
      </c>
      <c r="G55" t="s">
        <v>152</v>
      </c>
      <c r="H55" t="s">
        <v>193</v>
      </c>
    </row>
    <row r="56" spans="2:8" x14ac:dyDescent="0.25">
      <c r="B56" t="s">
        <v>67</v>
      </c>
      <c r="C56" t="s">
        <v>22</v>
      </c>
      <c r="D56" t="str">
        <f>+RIGHT(C56,7)</f>
        <v>ATXPY']</v>
      </c>
      <c r="E56" t="str">
        <f t="shared" si="0"/>
        <v>ATXPY</v>
      </c>
      <c r="G56" t="s">
        <v>153</v>
      </c>
      <c r="H56" t="s">
        <v>187</v>
      </c>
    </row>
    <row r="57" spans="2:8" x14ac:dyDescent="0.25">
      <c r="B57" t="s">
        <v>68</v>
      </c>
      <c r="C57" t="s">
        <v>22</v>
      </c>
      <c r="D57" t="str">
        <f>+RIGHT(C57,7)</f>
        <v>ATXPY']</v>
      </c>
      <c r="E57" t="str">
        <f t="shared" si="0"/>
        <v>ATXPY</v>
      </c>
      <c r="G57" t="s">
        <v>154</v>
      </c>
      <c r="H57" t="s">
        <v>187</v>
      </c>
    </row>
    <row r="58" spans="2:8" x14ac:dyDescent="0.25">
      <c r="B58" t="s">
        <v>69</v>
      </c>
      <c r="C58" t="s">
        <v>70</v>
      </c>
      <c r="D58" t="str">
        <f>+RIGHT(C58,7)</f>
        <v>'AIPD']</v>
      </c>
      <c r="E58" t="str">
        <f t="shared" si="0"/>
        <v>'AIPD</v>
      </c>
      <c r="G58" t="s">
        <v>155</v>
      </c>
      <c r="H58" t="s">
        <v>209</v>
      </c>
    </row>
    <row r="59" spans="2:8" x14ac:dyDescent="0.25">
      <c r="B59" t="s">
        <v>71</v>
      </c>
      <c r="C59" t="s">
        <v>22</v>
      </c>
      <c r="D59" t="str">
        <f>+RIGHT(C59,7)</f>
        <v>ATXPY']</v>
      </c>
      <c r="E59" t="str">
        <f t="shared" si="0"/>
        <v>ATXPY</v>
      </c>
      <c r="G59" t="s">
        <v>156</v>
      </c>
      <c r="H59" t="s">
        <v>187</v>
      </c>
    </row>
    <row r="60" spans="2:8" x14ac:dyDescent="0.25">
      <c r="B60" t="s">
        <v>72</v>
      </c>
      <c r="C60" t="s">
        <v>22</v>
      </c>
      <c r="D60" t="str">
        <f>+RIGHT(C60,7)</f>
        <v>ATXPY']</v>
      </c>
      <c r="E60" t="str">
        <f t="shared" si="0"/>
        <v>ATXPY</v>
      </c>
      <c r="G60" t="s">
        <v>157</v>
      </c>
      <c r="H60" t="s">
        <v>187</v>
      </c>
    </row>
    <row r="61" spans="2:8" x14ac:dyDescent="0.25">
      <c r="B61" t="s">
        <v>73</v>
      </c>
      <c r="C61" t="s">
        <v>22</v>
      </c>
      <c r="D61" t="str">
        <f>+RIGHT(C61,7)</f>
        <v>ATXPY']</v>
      </c>
      <c r="E61" t="str">
        <f t="shared" si="0"/>
        <v>ATXPY</v>
      </c>
      <c r="G61" t="s">
        <v>158</v>
      </c>
      <c r="H61" t="s">
        <v>187</v>
      </c>
    </row>
    <row r="62" spans="2:8" x14ac:dyDescent="0.25">
      <c r="B62" t="s">
        <v>74</v>
      </c>
      <c r="C62" t="s">
        <v>22</v>
      </c>
      <c r="D62" t="str">
        <f>+RIGHT(C62,7)</f>
        <v>ATXPY']</v>
      </c>
      <c r="E62" t="str">
        <f t="shared" si="0"/>
        <v>ATXPY</v>
      </c>
      <c r="G62" t="s">
        <v>159</v>
      </c>
      <c r="H62" t="s">
        <v>187</v>
      </c>
    </row>
    <row r="63" spans="2:8" x14ac:dyDescent="0.25">
      <c r="B63" t="s">
        <v>5</v>
      </c>
      <c r="D63" t="str">
        <f>+RIGHT(C63,7)</f>
        <v/>
      </c>
      <c r="E63" t="str">
        <f t="shared" si="0"/>
        <v/>
      </c>
      <c r="H63" t="s">
        <v>188</v>
      </c>
    </row>
    <row r="64" spans="2:8" x14ac:dyDescent="0.25">
      <c r="B64" t="s">
        <v>75</v>
      </c>
      <c r="C64" t="s">
        <v>29</v>
      </c>
      <c r="D64" t="str">
        <f>+RIGHT(C64,7)</f>
        <v>ACGNS']</v>
      </c>
      <c r="E64" t="str">
        <f t="shared" si="0"/>
        <v>ACGNS</v>
      </c>
      <c r="G64" t="s">
        <v>160</v>
      </c>
      <c r="H64" t="s">
        <v>189</v>
      </c>
    </row>
    <row r="65" spans="2:8" x14ac:dyDescent="0.25">
      <c r="B65" t="s">
        <v>76</v>
      </c>
      <c r="C65" t="s">
        <v>29</v>
      </c>
      <c r="D65" t="str">
        <f>+RIGHT(C65,7)</f>
        <v>ACGNS']</v>
      </c>
      <c r="E65" t="str">
        <f t="shared" si="0"/>
        <v>ACGNS</v>
      </c>
      <c r="G65" t="s">
        <v>161</v>
      </c>
      <c r="H65" t="s">
        <v>189</v>
      </c>
    </row>
    <row r="66" spans="2:8" x14ac:dyDescent="0.25">
      <c r="B66" t="s">
        <v>77</v>
      </c>
      <c r="C66" t="s">
        <v>29</v>
      </c>
      <c r="D66" t="str">
        <f>+RIGHT(C66,7)</f>
        <v>ACGNS']</v>
      </c>
      <c r="E66" t="str">
        <f t="shared" si="0"/>
        <v>ACGNS</v>
      </c>
      <c r="G66" t="s">
        <v>162</v>
      </c>
      <c r="H66" t="s">
        <v>189</v>
      </c>
    </row>
    <row r="67" spans="2:8" x14ac:dyDescent="0.25">
      <c r="B67" t="s">
        <v>78</v>
      </c>
      <c r="C67" t="s">
        <v>29</v>
      </c>
      <c r="D67" t="str">
        <f>+RIGHT(C67,7)</f>
        <v>ACGNS']</v>
      </c>
      <c r="E67" t="str">
        <f t="shared" si="0"/>
        <v>ACGNS</v>
      </c>
      <c r="G67" t="s">
        <v>163</v>
      </c>
      <c r="H67" t="s">
        <v>189</v>
      </c>
    </row>
    <row r="68" spans="2:8" x14ac:dyDescent="0.25">
      <c r="B68" t="s">
        <v>6</v>
      </c>
      <c r="D68" t="str">
        <f>+RIGHT(C68,7)</f>
        <v/>
      </c>
      <c r="E68" t="str">
        <f t="shared" si="0"/>
        <v/>
      </c>
      <c r="H68" t="s">
        <v>188</v>
      </c>
    </row>
    <row r="69" spans="2:8" x14ac:dyDescent="0.25">
      <c r="B69" t="s">
        <v>79</v>
      </c>
      <c r="C69" t="s">
        <v>80</v>
      </c>
      <c r="D69" t="str">
        <f>+RIGHT(C69,7)</f>
        <v>SCHEI']</v>
      </c>
      <c r="E69" t="str">
        <f t="shared" ref="E69:E90" si="1">SUBSTITUTE(D69,"']","")</f>
        <v>SCHEI</v>
      </c>
      <c r="G69" t="s">
        <v>164</v>
      </c>
      <c r="H69" t="s">
        <v>195</v>
      </c>
    </row>
    <row r="70" spans="2:8" x14ac:dyDescent="0.25">
      <c r="B70" t="s">
        <v>81</v>
      </c>
      <c r="C70" t="s">
        <v>80</v>
      </c>
      <c r="D70" t="str">
        <f>+RIGHT(C70,7)</f>
        <v>SCHEI']</v>
      </c>
      <c r="E70" t="str">
        <f t="shared" si="1"/>
        <v>SCHEI</v>
      </c>
      <c r="G70" t="s">
        <v>165</v>
      </c>
      <c r="H70" t="s">
        <v>195</v>
      </c>
    </row>
    <row r="71" spans="2:8" x14ac:dyDescent="0.25">
      <c r="B71" t="s">
        <v>82</v>
      </c>
      <c r="C71" t="s">
        <v>80</v>
      </c>
      <c r="D71" t="str">
        <f>+RIGHT(C71,7)</f>
        <v>SCHEI']</v>
      </c>
      <c r="E71" t="str">
        <f t="shared" si="1"/>
        <v>SCHEI</v>
      </c>
      <c r="G71" t="s">
        <v>166</v>
      </c>
      <c r="H71" t="s">
        <v>195</v>
      </c>
    </row>
    <row r="72" spans="2:8" x14ac:dyDescent="0.25">
      <c r="B72" t="s">
        <v>83</v>
      </c>
      <c r="C72" t="s">
        <v>80</v>
      </c>
      <c r="D72" t="str">
        <f>+RIGHT(C72,7)</f>
        <v>SCHEI']</v>
      </c>
      <c r="E72" t="str">
        <f t="shared" si="1"/>
        <v>SCHEI</v>
      </c>
      <c r="G72" t="s">
        <v>167</v>
      </c>
      <c r="H72" t="s">
        <v>195</v>
      </c>
    </row>
    <row r="73" spans="2:8" x14ac:dyDescent="0.25">
      <c r="B73" t="s">
        <v>7</v>
      </c>
      <c r="D73" t="str">
        <f>+RIGHT(C73,7)</f>
        <v/>
      </c>
      <c r="E73" t="str">
        <f t="shared" si="1"/>
        <v/>
      </c>
      <c r="H73" t="s">
        <v>188</v>
      </c>
    </row>
    <row r="74" spans="2:8" x14ac:dyDescent="0.25">
      <c r="B74" t="s">
        <v>84</v>
      </c>
      <c r="C74" t="s">
        <v>22</v>
      </c>
      <c r="D74" t="str">
        <f>+RIGHT(C74,7)</f>
        <v>ATXPY']</v>
      </c>
      <c r="E74" t="str">
        <f t="shared" si="1"/>
        <v>ATXPY</v>
      </c>
      <c r="G74" t="s">
        <v>168</v>
      </c>
      <c r="H74" t="s">
        <v>187</v>
      </c>
    </row>
    <row r="75" spans="2:8" x14ac:dyDescent="0.25">
      <c r="B75" t="s">
        <v>85</v>
      </c>
      <c r="C75" t="s">
        <v>22</v>
      </c>
      <c r="D75" t="str">
        <f>+RIGHT(C75,7)</f>
        <v>ATXPY']</v>
      </c>
      <c r="E75" t="str">
        <f t="shared" si="1"/>
        <v>ATXPY</v>
      </c>
      <c r="G75" t="s">
        <v>169</v>
      </c>
      <c r="H75" t="s">
        <v>187</v>
      </c>
    </row>
    <row r="76" spans="2:8" x14ac:dyDescent="0.25">
      <c r="B76" t="s">
        <v>86</v>
      </c>
      <c r="C76" t="s">
        <v>22</v>
      </c>
      <c r="D76" t="str">
        <f>+RIGHT(C76,7)</f>
        <v>ATXPY']</v>
      </c>
      <c r="E76" t="str">
        <f t="shared" si="1"/>
        <v>ATXPY</v>
      </c>
      <c r="G76" t="s">
        <v>170</v>
      </c>
      <c r="H76" t="s">
        <v>187</v>
      </c>
    </row>
    <row r="77" spans="2:8" x14ac:dyDescent="0.25">
      <c r="B77" t="s">
        <v>87</v>
      </c>
      <c r="C77" t="s">
        <v>22</v>
      </c>
      <c r="D77" t="str">
        <f>+RIGHT(C77,7)</f>
        <v>ATXPY']</v>
      </c>
      <c r="E77" t="str">
        <f t="shared" si="1"/>
        <v>ATXPY</v>
      </c>
      <c r="G77" t="s">
        <v>171</v>
      </c>
      <c r="H77" t="s">
        <v>187</v>
      </c>
    </row>
    <row r="78" spans="2:8" x14ac:dyDescent="0.25">
      <c r="B78" t="s">
        <v>88</v>
      </c>
      <c r="C78" t="s">
        <v>22</v>
      </c>
      <c r="D78" t="str">
        <f>+RIGHT(C78,7)</f>
        <v>ATXPY']</v>
      </c>
      <c r="E78" t="str">
        <f t="shared" si="1"/>
        <v>ATXPY</v>
      </c>
      <c r="G78" t="s">
        <v>172</v>
      </c>
      <c r="H78" t="s">
        <v>187</v>
      </c>
    </row>
    <row r="79" spans="2:8" x14ac:dyDescent="0.25">
      <c r="B79" t="s">
        <v>89</v>
      </c>
      <c r="C79" t="s">
        <v>22</v>
      </c>
      <c r="D79" t="str">
        <f>+RIGHT(C79,7)</f>
        <v>ATXPY']</v>
      </c>
      <c r="E79" t="str">
        <f t="shared" si="1"/>
        <v>ATXPY</v>
      </c>
      <c r="G79" t="s">
        <v>173</v>
      </c>
      <c r="H79" t="s">
        <v>187</v>
      </c>
    </row>
    <row r="80" spans="2:8" x14ac:dyDescent="0.25">
      <c r="B80" t="s">
        <v>90</v>
      </c>
      <c r="C80" t="s">
        <v>22</v>
      </c>
      <c r="D80" t="str">
        <f>+RIGHT(C80,7)</f>
        <v>ATXPY']</v>
      </c>
      <c r="E80" t="str">
        <f t="shared" si="1"/>
        <v>ATXPY</v>
      </c>
      <c r="G80" t="s">
        <v>174</v>
      </c>
      <c r="H80" t="s">
        <v>187</v>
      </c>
    </row>
    <row r="81" spans="2:8" x14ac:dyDescent="0.25">
      <c r="B81" t="s">
        <v>8</v>
      </c>
      <c r="D81" t="str">
        <f>+RIGHT(C81,7)</f>
        <v/>
      </c>
      <c r="E81" t="str">
        <f t="shared" si="1"/>
        <v/>
      </c>
      <c r="H81" t="s">
        <v>188</v>
      </c>
    </row>
    <row r="82" spans="2:8" x14ac:dyDescent="0.25">
      <c r="B82" t="s">
        <v>91</v>
      </c>
      <c r="C82" t="s">
        <v>92</v>
      </c>
      <c r="D82" t="str">
        <f>+RIGHT(C82,7)</f>
        <v>OTHER']</v>
      </c>
      <c r="E82" t="str">
        <f t="shared" si="1"/>
        <v>OTHER</v>
      </c>
      <c r="G82" t="s">
        <v>175</v>
      </c>
      <c r="H82" t="s">
        <v>196</v>
      </c>
    </row>
    <row r="83" spans="2:8" x14ac:dyDescent="0.25">
      <c r="B83" t="s">
        <v>93</v>
      </c>
      <c r="C83" t="s">
        <v>94</v>
      </c>
      <c r="D83" t="str">
        <f>+RIGHT(C83,7)</f>
        <v>MCARE']</v>
      </c>
      <c r="E83" t="str">
        <f t="shared" si="1"/>
        <v>MCARE</v>
      </c>
      <c r="G83" t="s">
        <v>176</v>
      </c>
      <c r="H83" t="s">
        <v>197</v>
      </c>
    </row>
    <row r="84" spans="2:8" x14ac:dyDescent="0.25">
      <c r="B84" t="s">
        <v>95</v>
      </c>
      <c r="C84" t="s">
        <v>96</v>
      </c>
      <c r="D84" t="str">
        <f>+RIGHT(C84,7)</f>
        <v>MCAID']</v>
      </c>
      <c r="E84" t="str">
        <f t="shared" si="1"/>
        <v>MCAID</v>
      </c>
      <c r="G84" t="s">
        <v>177</v>
      </c>
      <c r="H84" t="s">
        <v>198</v>
      </c>
    </row>
    <row r="85" spans="2:8" x14ac:dyDescent="0.25">
      <c r="B85" t="s">
        <v>97</v>
      </c>
      <c r="C85" t="s">
        <v>98</v>
      </c>
      <c r="D85" t="str">
        <f>+RIGHT(C85,7)</f>
        <v>ENSSI']</v>
      </c>
      <c r="E85" t="str">
        <f t="shared" si="1"/>
        <v>ENSSI</v>
      </c>
      <c r="G85" t="s">
        <v>178</v>
      </c>
      <c r="H85" t="s">
        <v>199</v>
      </c>
    </row>
    <row r="86" spans="2:8" x14ac:dyDescent="0.25">
      <c r="B86" t="s">
        <v>99</v>
      </c>
      <c r="C86" t="s">
        <v>100</v>
      </c>
      <c r="D86" t="str">
        <f>+RIGHT(C86,7)</f>
        <v>NSNAP']</v>
      </c>
      <c r="E86" t="str">
        <f t="shared" si="1"/>
        <v>NSNAP</v>
      </c>
      <c r="G86" t="s">
        <v>179</v>
      </c>
      <c r="H86" t="s">
        <v>200</v>
      </c>
    </row>
    <row r="87" spans="2:8" x14ac:dyDescent="0.25">
      <c r="B87" t="s">
        <v>101</v>
      </c>
      <c r="C87" t="s">
        <v>102</v>
      </c>
      <c r="D87" t="str">
        <f>+RIGHT(C87,7)</f>
        <v>ENWIC']</v>
      </c>
      <c r="E87" t="str">
        <f t="shared" si="1"/>
        <v>ENWIC</v>
      </c>
      <c r="G87" t="s">
        <v>180</v>
      </c>
      <c r="H87" t="s">
        <v>201</v>
      </c>
    </row>
    <row r="88" spans="2:8" x14ac:dyDescent="0.25">
      <c r="B88" t="s">
        <v>103</v>
      </c>
      <c r="C88" t="s">
        <v>104</v>
      </c>
      <c r="D88" t="str">
        <f>+RIGHT(C88,7)</f>
        <v>USING']</v>
      </c>
      <c r="E88" t="str">
        <f t="shared" si="1"/>
        <v>USING</v>
      </c>
      <c r="G88" t="s">
        <v>181</v>
      </c>
      <c r="H88" t="s">
        <v>202</v>
      </c>
    </row>
    <row r="89" spans="2:8" x14ac:dyDescent="0.25">
      <c r="B89" t="s">
        <v>105</v>
      </c>
      <c r="C89" t="s">
        <v>106</v>
      </c>
      <c r="D89" t="str">
        <f>+RIGHT(C89,7)</f>
        <v>NTANF']</v>
      </c>
      <c r="E89" t="str">
        <f t="shared" si="1"/>
        <v>NTANF</v>
      </c>
      <c r="G89" t="s">
        <v>182</v>
      </c>
      <c r="H89" t="s">
        <v>203</v>
      </c>
    </row>
    <row r="90" spans="2:8" x14ac:dyDescent="0.25">
      <c r="B90" t="s">
        <v>107</v>
      </c>
      <c r="C90" t="s">
        <v>108</v>
      </c>
      <c r="D90" t="str">
        <f>+RIGHT(C90,7)</f>
        <v>ENVET']</v>
      </c>
      <c r="E90" t="str">
        <f t="shared" si="1"/>
        <v>ENVET</v>
      </c>
      <c r="G90" t="s">
        <v>183</v>
      </c>
      <c r="H90" t="s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growfactors_link</vt:lpstr>
      <vt:lpstr>growfactors_raw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Boyd</dc:creator>
  <cp:lastModifiedBy>Donald Boyd</cp:lastModifiedBy>
  <dcterms:created xsi:type="dcterms:W3CDTF">2019-09-04T21:27:45Z</dcterms:created>
  <dcterms:modified xsi:type="dcterms:W3CDTF">2019-11-19T08:55:43Z</dcterms:modified>
</cp:coreProperties>
</file>